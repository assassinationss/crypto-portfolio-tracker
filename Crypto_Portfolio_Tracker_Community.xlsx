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Lists" sheetId="4" state="visible" r:id="rId4"/>
  </sheets>
  <definedNames>
    <definedName name="CoinList">Lists!$B$5:$B$12</definedName>
    <definedName name="ExchangeList">Lists!$D$5:$D$12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-MM-DD"/>
    <numFmt numFmtId="166" formatCode="#,##0.####"/>
    <numFmt numFmtId="167" formatCode="#,##0.00####"/>
    <numFmt numFmtId="168" formatCode="$#,##0.00"/>
    <numFmt numFmtId="169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0D1B2A"/>
      <sz val="16"/>
    </font>
    <font>
      <name val="Calibri"/>
      <b val="1"/>
      <color rgb="00FFFFFF"/>
      <sz val="11"/>
    </font>
    <font>
      <name val="Calibri"/>
      <color rgb="000D1B2A"/>
      <sz val="11"/>
    </font>
    <font>
      <name val="Calibri"/>
      <color rgb="00708DA8"/>
      <sz val="9"/>
    </font>
    <font>
      <name val="Calibri"/>
      <b val="1"/>
      <color rgb="000D1B2A"/>
      <sz val="11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FFFFF"/>
      </patternFill>
    </fill>
    <fill>
      <patternFill patternType="solid">
        <fgColor rgb="00F4F7FA"/>
      </patternFill>
    </fill>
    <fill>
      <patternFill patternType="solid">
        <fgColor rgb="00D6E0EB"/>
      </patternFill>
    </fill>
  </fills>
  <borders count="3">
    <border>
      <left/>
      <right/>
      <top/>
      <bottom/>
      <diagonal/>
    </border>
    <border>
      <bottom style="thin">
        <color rgb="00D6E0EB"/>
      </bottom>
    </border>
    <border>
      <top style="medium">
        <color rgb="00D6E0EB"/>
      </top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166" fontId="3" fillId="3" borderId="0" applyAlignment="1" pivotButton="0" quotePrefix="0" xfId="0">
      <alignment horizontal="right" vertical="center"/>
    </xf>
    <xf numFmtId="167" fontId="3" fillId="3" borderId="0" applyAlignment="1" pivotButton="0" quotePrefix="0" xfId="0">
      <alignment horizontal="right" vertical="center"/>
    </xf>
    <xf numFmtId="168" fontId="3" fillId="3" borderId="0" applyAlignment="1" pivotButton="0" quotePrefix="0" xfId="0">
      <alignment horizontal="right" vertical="center"/>
    </xf>
    <xf numFmtId="169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center" vertical="center"/>
    </xf>
    <xf numFmtId="166" fontId="3" fillId="4" borderId="0" applyAlignment="1" pivotButton="0" quotePrefix="0" xfId="0">
      <alignment horizontal="right" vertical="center"/>
    </xf>
    <xf numFmtId="167" fontId="3" fillId="4" borderId="0" applyAlignment="1" pivotButton="0" quotePrefix="0" xfId="0">
      <alignment horizontal="right" vertical="center"/>
    </xf>
    <xf numFmtId="168" fontId="3" fillId="4" borderId="0" applyAlignment="1" pivotButton="0" quotePrefix="0" xfId="0">
      <alignment horizontal="right" vertical="center"/>
    </xf>
    <xf numFmtId="169" fontId="3" fillId="4" borderId="0" applyAlignment="1" pivotButton="0" quotePrefix="0" xfId="0">
      <alignment horizontal="right" vertical="center"/>
    </xf>
    <xf numFmtId="0" fontId="5" fillId="5" borderId="2" pivotButton="0" quotePrefix="0" xfId="0"/>
    <xf numFmtId="168" fontId="5" fillId="5" borderId="2" applyAlignment="1" pivotButton="0" quotePrefix="0" xfId="0">
      <alignment horizontal="right" vertical="center"/>
    </xf>
    <xf numFmtId="169" fontId="5" fillId="5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5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165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color rgb="0010B981"/>
      </font>
      <fill>
        <patternFill>
          <bgColor rgb="00E8F5E9"/>
        </patternFill>
      </fill>
    </dxf>
    <dxf>
      <font>
        <color rgb="00EF4444"/>
      </font>
      <fill>
        <patternFill>
          <bgColor rgb="00FDED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15" customHeight="1"/>
    <row r="2" ht="32" customHeight="1">
      <c r="B2" s="1" t="inlineStr">
        <is>
          <t>Crypto Portfolio Tracker — Community Edition</t>
        </is>
      </c>
    </row>
    <row r="3" ht="8" customHeight="1"/>
    <row r="4" ht="24" customHeight="1">
      <c r="B4" s="2" t="inlineStr">
        <is>
          <t>ABOUT</t>
        </is>
      </c>
    </row>
    <row r="5" ht="20" customHeight="1">
      <c r="B5" s="3" t="inlineStr">
        <is>
          <t>Free, formula-driven crypto portfolio tracker. No macros, no setup — works in Excel,</t>
        </is>
      </c>
    </row>
    <row r="6" ht="20" customHeight="1">
      <c r="B6" s="3" t="inlineStr">
        <is>
          <t>WPS Office, and Google Sheets (import the .xlsx). CC BY 4.0 — use it, share it, keep attribution.</t>
        </is>
      </c>
    </row>
    <row r="8" ht="24" customHeight="1">
      <c r="B8" s="2" t="inlineStr">
        <is>
          <t>QUICK START — 3 STEPS</t>
        </is>
      </c>
    </row>
    <row r="9" ht="20" customHeight="1">
      <c r="B9" s="3" t="inlineStr">
        <is>
          <t>1.  Trade Log — enter date, BUY or SELL, coin, exchange, qty, price, fee.</t>
        </is>
      </c>
    </row>
    <row r="10" ht="20" customHeight="1">
      <c r="B10" s="3" t="inlineStr">
        <is>
          <t>2.  Holdings — paste the current price for each coin you hold (column marked *).</t>
        </is>
      </c>
    </row>
    <row r="11" ht="20" customHeight="1">
      <c r="B11" s="3" t="inlineStr">
        <is>
          <t>3.  Everything else recalculates automatically. Delete sample rows, add your trades.</t>
        </is>
      </c>
    </row>
    <row r="13" ht="24" customHeight="1">
      <c r="B13" s="2" t="inlineStr">
        <is>
          <t>GOOD TO KNOW</t>
        </is>
      </c>
    </row>
    <row r="14" ht="20" customHeight="1">
      <c r="B14" s="3" t="inlineStr">
        <is>
          <t>- Avg Buy Price is a weighted average including fees (buys only).</t>
        </is>
      </c>
    </row>
    <row r="15" ht="20" customHeight="1">
      <c r="B15" s="3" t="inlineStr">
        <is>
          <t>- Need a coin not in the list? Rename an unused row on the Lists sheet.</t>
        </is>
      </c>
    </row>
    <row r="16" ht="20" customHeight="1">
      <c r="B16" s="3" t="inlineStr">
        <is>
          <t>- More than 32 trades? Drag-fill down — formulas and dropdowns copy.</t>
        </is>
      </c>
    </row>
    <row r="18" ht="24" customHeight="1">
      <c r="B18" s="2" t="inlineStr">
        <is>
          <t>PRO EDITION</t>
        </is>
      </c>
    </row>
    <row r="19" ht="20" customHeight="1">
      <c r="B19" s="3" t="inlineStr">
        <is>
          <t>The Pro edition adds an automated Dashboard (KPI cards, allocation pie, P&amp;L chart),</t>
        </is>
      </c>
    </row>
    <row r="20" ht="20" customHeight="1">
      <c r="B20" s="3" t="inlineStr">
        <is>
          <t>an integrity Checks sheet, 64 trade rows, 16 coin slots, and a PDF quick-start guide.</t>
        </is>
      </c>
    </row>
    <row r="21" ht="20" customHeight="1">
      <c r="B21" s="3" t="inlineStr">
        <is>
          <t>Details in the repository README. Support/feedback: assassinationss@163.com</t>
        </is>
      </c>
    </row>
  </sheetData>
  <mergeCells count="12">
    <mergeCell ref="B14:K14"/>
    <mergeCell ref="B9:K9"/>
    <mergeCell ref="B19:K19"/>
    <mergeCell ref="B21:K21"/>
    <mergeCell ref="B16:K16"/>
    <mergeCell ref="B15:K15"/>
    <mergeCell ref="B6:K6"/>
    <mergeCell ref="B2:K2"/>
    <mergeCell ref="B20:K20"/>
    <mergeCell ref="B10:K10"/>
    <mergeCell ref="B11:K11"/>
    <mergeCell ref="B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1" customWidth="1" min="3" max="3"/>
    <col width="13" customWidth="1" min="4" max="4"/>
    <col width="14" customWidth="1" min="5" max="5"/>
    <col width="13" customWidth="1" min="6" max="6"/>
    <col width="14" customWidth="1" min="7" max="7"/>
    <col width="12" customWidth="1" min="8" max="8"/>
    <col width="10" customWidth="1" min="9" max="9"/>
  </cols>
  <sheetData>
    <row r="1" ht="15" customHeight="1"/>
    <row r="2" ht="32" customHeight="1">
      <c r="B2" s="1" t="inlineStr">
        <is>
          <t>Holdings</t>
        </is>
      </c>
    </row>
    <row r="3" ht="8" customHeight="1"/>
    <row r="4" ht="28" customHeight="1">
      <c r="B4" s="4" t="inlineStr">
        <is>
          <t>Coin</t>
        </is>
      </c>
      <c r="C4" s="4" t="inlineStr">
        <is>
          <t>Qty Held</t>
        </is>
      </c>
      <c r="D4" s="4" t="inlineStr">
        <is>
          <t>Avg Buy Price</t>
        </is>
      </c>
      <c r="E4" s="4" t="inlineStr">
        <is>
          <t>Current Price *</t>
        </is>
      </c>
      <c r="F4" s="4" t="inlineStr">
        <is>
          <t>Cost Basis</t>
        </is>
      </c>
      <c r="G4" s="4" t="inlineStr">
        <is>
          <t>Current Value</t>
        </is>
      </c>
      <c r="H4" s="4" t="inlineStr">
        <is>
          <t>P&amp;L (USD)</t>
        </is>
      </c>
      <c r="I4" s="4" t="inlineStr">
        <is>
          <t>P&amp;L (%)</t>
        </is>
      </c>
    </row>
    <row r="5" ht="22" customHeight="1">
      <c r="B5" s="5" t="inlineStr">
        <is>
          <t>BTC</t>
        </is>
      </c>
      <c r="C5" s="6">
        <f>SUMIFS('Trade Log'!$F$5:$F$36,'Trade Log'!$D$5:$D$36,$B5,'Trade Log'!$C$5:$C$36,"BUY")-SUMIFS('Trade Log'!$F$5:$F$36,'Trade Log'!$D$5:$D$36,$B5,'Trade Log'!$C$5:$C$36,"SELL")</f>
        <v/>
      </c>
      <c r="D5" s="7">
        <f>IFERROR(SUMPRODUCT(('Trade Log'!$D$5:$D$36=$B5)*('Trade Log'!$C$5:$C$36="BUY")*('Trade Log'!$F$5:$F$36*'Trade Log'!$G$5:$G$36+'Trade Log'!$H$5:$H$36))/SUMIFS('Trade Log'!$F$5:$F$36,'Trade Log'!$D$5:$D$36,$B5,'Trade Log'!$C$5:$C$36,"BUY"),0)</f>
        <v/>
      </c>
      <c r="E5" s="7" t="n">
        <v>94800</v>
      </c>
      <c r="F5" s="8">
        <f>C5*D5</f>
        <v/>
      </c>
      <c r="G5" s="8">
        <f>C5*E5</f>
        <v/>
      </c>
      <c r="H5" s="8">
        <f>G5-F5</f>
        <v/>
      </c>
      <c r="I5" s="9">
        <f>IFERROR(H5/F5,0)</f>
        <v/>
      </c>
    </row>
    <row r="6" ht="22" customHeight="1">
      <c r="B6" s="10" t="inlineStr">
        <is>
          <t>ETH</t>
        </is>
      </c>
      <c r="C6" s="11">
        <f>SUMIFS('Trade Log'!$F$5:$F$36,'Trade Log'!$D$5:$D$36,$B6,'Trade Log'!$C$5:$C$36,"BUY")-SUMIFS('Trade Log'!$F$5:$F$36,'Trade Log'!$D$5:$D$36,$B6,'Trade Log'!$C$5:$C$36,"SELL")</f>
        <v/>
      </c>
      <c r="D6" s="12">
        <f>IFERROR(SUMPRODUCT(('Trade Log'!$D$5:$D$36=$B6)*('Trade Log'!$C$5:$C$36="BUY")*('Trade Log'!$F$5:$F$36*'Trade Log'!$G$5:$G$36+'Trade Log'!$H$5:$H$36))/SUMIFS('Trade Log'!$F$5:$F$36,'Trade Log'!$D$5:$D$36,$B6,'Trade Log'!$C$5:$C$36,"BUY"),0)</f>
        <v/>
      </c>
      <c r="E6" s="12" t="n">
        <v>3320</v>
      </c>
      <c r="F6" s="13">
        <f>C6*D6</f>
        <v/>
      </c>
      <c r="G6" s="13">
        <f>C6*E6</f>
        <v/>
      </c>
      <c r="H6" s="13">
        <f>G6-F6</f>
        <v/>
      </c>
      <c r="I6" s="14">
        <f>IFERROR(H6/F6,0)</f>
        <v/>
      </c>
    </row>
    <row r="7" ht="22" customHeight="1">
      <c r="B7" s="5" t="inlineStr">
        <is>
          <t>USDT</t>
        </is>
      </c>
      <c r="C7" s="6">
        <f>SUMIFS('Trade Log'!$F$5:$F$36,'Trade Log'!$D$5:$D$36,$B7,'Trade Log'!$C$5:$C$36,"BUY")-SUMIFS('Trade Log'!$F$5:$F$36,'Trade Log'!$D$5:$D$36,$B7,'Trade Log'!$C$5:$C$36,"SELL")</f>
        <v/>
      </c>
      <c r="D7" s="7">
        <f>IFERROR(SUMPRODUCT(('Trade Log'!$D$5:$D$36=$B7)*('Trade Log'!$C$5:$C$36="BUY")*('Trade Log'!$F$5:$F$36*'Trade Log'!$G$5:$G$36+'Trade Log'!$H$5:$H$36))/SUMIFS('Trade Log'!$F$5:$F$36,'Trade Log'!$D$5:$D$36,$B7,'Trade Log'!$C$5:$C$36,"BUY"),0)</f>
        <v/>
      </c>
      <c r="E7" s="7" t="n">
        <v>1</v>
      </c>
      <c r="F7" s="8">
        <f>C7*D7</f>
        <v/>
      </c>
      <c r="G7" s="8">
        <f>C7*E7</f>
        <v/>
      </c>
      <c r="H7" s="8">
        <f>G7-F7</f>
        <v/>
      </c>
      <c r="I7" s="9">
        <f>IFERROR(H7/F7,0)</f>
        <v/>
      </c>
    </row>
    <row r="8" ht="22" customHeight="1">
      <c r="B8" s="10" t="inlineStr">
        <is>
          <t>SOL</t>
        </is>
      </c>
      <c r="C8" s="11">
        <f>SUMIFS('Trade Log'!$F$5:$F$36,'Trade Log'!$D$5:$D$36,$B8,'Trade Log'!$C$5:$C$36,"BUY")-SUMIFS('Trade Log'!$F$5:$F$36,'Trade Log'!$D$5:$D$36,$B8,'Trade Log'!$C$5:$C$36,"SELL")</f>
        <v/>
      </c>
      <c r="D8" s="12">
        <f>IFERROR(SUMPRODUCT(('Trade Log'!$D$5:$D$36=$B8)*('Trade Log'!$C$5:$C$36="BUY")*('Trade Log'!$F$5:$F$36*'Trade Log'!$G$5:$G$36+'Trade Log'!$H$5:$H$36))/SUMIFS('Trade Log'!$F$5:$F$36,'Trade Log'!$D$5:$D$36,$B8,'Trade Log'!$C$5:$C$36,"BUY"),0)</f>
        <v/>
      </c>
      <c r="E8" s="12" t="n">
        <v>152</v>
      </c>
      <c r="F8" s="13">
        <f>C8*D8</f>
        <v/>
      </c>
      <c r="G8" s="13">
        <f>C8*E8</f>
        <v/>
      </c>
      <c r="H8" s="13">
        <f>G8-F8</f>
        <v/>
      </c>
      <c r="I8" s="14">
        <f>IFERROR(H8/F8,0)</f>
        <v/>
      </c>
    </row>
    <row r="9" ht="22" customHeight="1">
      <c r="B9" s="5" t="inlineStr">
        <is>
          <t>BNB</t>
        </is>
      </c>
      <c r="C9" s="6">
        <f>SUMIFS('Trade Log'!$F$5:$F$36,'Trade Log'!$D$5:$D$36,$B9,'Trade Log'!$C$5:$C$36,"BUY")-SUMIFS('Trade Log'!$F$5:$F$36,'Trade Log'!$D$5:$D$36,$B9,'Trade Log'!$C$5:$C$36,"SELL")</f>
        <v/>
      </c>
      <c r="D9" s="7">
        <f>IFERROR(SUMPRODUCT(('Trade Log'!$D$5:$D$36=$B9)*('Trade Log'!$C$5:$C$36="BUY")*('Trade Log'!$F$5:$F$36*'Trade Log'!$G$5:$G$36+'Trade Log'!$H$5:$H$36))/SUMIFS('Trade Log'!$F$5:$F$36,'Trade Log'!$D$5:$D$36,$B9,'Trade Log'!$C$5:$C$36,"BUY"),0)</f>
        <v/>
      </c>
      <c r="E9" s="7" t="n">
        <v>0</v>
      </c>
      <c r="F9" s="8">
        <f>C9*D9</f>
        <v/>
      </c>
      <c r="G9" s="8">
        <f>C9*E9</f>
        <v/>
      </c>
      <c r="H9" s="8">
        <f>G9-F9</f>
        <v/>
      </c>
      <c r="I9" s="9">
        <f>IFERROR(H9/F9,0)</f>
        <v/>
      </c>
    </row>
    <row r="10" ht="22" customHeight="1">
      <c r="B10" s="10" t="inlineStr">
        <is>
          <t>XRP</t>
        </is>
      </c>
      <c r="C10" s="11">
        <f>SUMIFS('Trade Log'!$F$5:$F$36,'Trade Log'!$D$5:$D$36,$B10,'Trade Log'!$C$5:$C$36,"BUY")-SUMIFS('Trade Log'!$F$5:$F$36,'Trade Log'!$D$5:$D$36,$B10,'Trade Log'!$C$5:$C$36,"SELL")</f>
        <v/>
      </c>
      <c r="D10" s="12">
        <f>IFERROR(SUMPRODUCT(('Trade Log'!$D$5:$D$36=$B10)*('Trade Log'!$C$5:$C$36="BUY")*('Trade Log'!$F$5:$F$36*'Trade Log'!$G$5:$G$36+'Trade Log'!$H$5:$H$36))/SUMIFS('Trade Log'!$F$5:$F$36,'Trade Log'!$D$5:$D$36,$B10,'Trade Log'!$C$5:$C$36,"BUY"),0)</f>
        <v/>
      </c>
      <c r="E10" s="12" t="n">
        <v>0</v>
      </c>
      <c r="F10" s="13">
        <f>C10*D10</f>
        <v/>
      </c>
      <c r="G10" s="13">
        <f>C10*E10</f>
        <v/>
      </c>
      <c r="H10" s="13">
        <f>G10-F10</f>
        <v/>
      </c>
      <c r="I10" s="14">
        <f>IFERROR(H10/F10,0)</f>
        <v/>
      </c>
    </row>
    <row r="11" ht="22" customHeight="1">
      <c r="B11" s="5" t="inlineStr">
        <is>
          <t>ADA</t>
        </is>
      </c>
      <c r="C11" s="6">
        <f>SUMIFS('Trade Log'!$F$5:$F$36,'Trade Log'!$D$5:$D$36,$B11,'Trade Log'!$C$5:$C$36,"BUY")-SUMIFS('Trade Log'!$F$5:$F$36,'Trade Log'!$D$5:$D$36,$B11,'Trade Log'!$C$5:$C$36,"SELL")</f>
        <v/>
      </c>
      <c r="D11" s="7">
        <f>IFERROR(SUMPRODUCT(('Trade Log'!$D$5:$D$36=$B11)*('Trade Log'!$C$5:$C$36="BUY")*('Trade Log'!$F$5:$F$36*'Trade Log'!$G$5:$G$36+'Trade Log'!$H$5:$H$36))/SUMIFS('Trade Log'!$F$5:$F$36,'Trade Log'!$D$5:$D$36,$B11,'Trade Log'!$C$5:$C$36,"BUY"),0)</f>
        <v/>
      </c>
      <c r="E11" s="7" t="n">
        <v>0</v>
      </c>
      <c r="F11" s="8">
        <f>C11*D11</f>
        <v/>
      </c>
      <c r="G11" s="8">
        <f>C11*E11</f>
        <v/>
      </c>
      <c r="H11" s="8">
        <f>G11-F11</f>
        <v/>
      </c>
      <c r="I11" s="9">
        <f>IFERROR(H11/F11,0)</f>
        <v/>
      </c>
    </row>
    <row r="12" ht="22" customHeight="1">
      <c r="B12" s="10" t="inlineStr">
        <is>
          <t>DOGE</t>
        </is>
      </c>
      <c r="C12" s="11">
        <f>SUMIFS('Trade Log'!$F$5:$F$36,'Trade Log'!$D$5:$D$36,$B12,'Trade Log'!$C$5:$C$36,"BUY")-SUMIFS('Trade Log'!$F$5:$F$36,'Trade Log'!$D$5:$D$36,$B12,'Trade Log'!$C$5:$C$36,"SELL")</f>
        <v/>
      </c>
      <c r="D12" s="12">
        <f>IFERROR(SUMPRODUCT(('Trade Log'!$D$5:$D$36=$B12)*('Trade Log'!$C$5:$C$36="BUY")*('Trade Log'!$F$5:$F$36*'Trade Log'!$G$5:$G$36+'Trade Log'!$H$5:$H$36))/SUMIFS('Trade Log'!$F$5:$F$36,'Trade Log'!$D$5:$D$36,$B12,'Trade Log'!$C$5:$C$36,"BUY"),0)</f>
        <v/>
      </c>
      <c r="E12" s="12" t="n">
        <v>0</v>
      </c>
      <c r="F12" s="13">
        <f>C12*D12</f>
        <v/>
      </c>
      <c r="G12" s="13">
        <f>C12*E12</f>
        <v/>
      </c>
      <c r="H12" s="13">
        <f>G12-F12</f>
        <v/>
      </c>
      <c r="I12" s="14">
        <f>IFERROR(H12/F12,0)</f>
        <v/>
      </c>
    </row>
    <row r="13" ht="26" customHeight="1">
      <c r="B13" s="15" t="inlineStr">
        <is>
          <t>TOTAL</t>
        </is>
      </c>
      <c r="C13" s="15" t="n"/>
      <c r="D13" s="15" t="n"/>
      <c r="E13" s="15" t="n"/>
      <c r="F13" s="16">
        <f>SUM(F5:F12)</f>
        <v/>
      </c>
      <c r="G13" s="16">
        <f>SUM(G5:G12)</f>
        <v/>
      </c>
      <c r="H13" s="16">
        <f>SUM(H5:H12)</f>
        <v/>
      </c>
      <c r="I13" s="17">
        <f>IFERROR(H13/F13,0)</f>
        <v/>
      </c>
    </row>
    <row r="15">
      <c r="B15" s="18" t="inlineStr">
        <is>
          <t>* Current Price is the only column you edit — paste live prices from your exchange or CoinGecko.</t>
        </is>
      </c>
    </row>
  </sheetData>
  <mergeCells count="2">
    <mergeCell ref="B2:I2"/>
    <mergeCell ref="B15:I15"/>
  </mergeCells>
  <conditionalFormatting sqref="H5:H1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5:I13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13" customWidth="1" min="7" max="7"/>
    <col width="11" customWidth="1" min="8" max="8"/>
    <col width="13" customWidth="1" min="9" max="9"/>
  </cols>
  <sheetData>
    <row r="1" ht="15" customHeight="1"/>
    <row r="2" ht="32" customHeight="1">
      <c r="B2" s="1" t="inlineStr">
        <is>
          <t>Trade Log</t>
        </is>
      </c>
    </row>
    <row r="3" ht="8" customHeight="1"/>
    <row r="4" ht="28" customHeight="1">
      <c r="B4" s="4" t="inlineStr">
        <is>
          <t>Date</t>
        </is>
      </c>
      <c r="C4" s="4" t="inlineStr">
        <is>
          <t>Type</t>
        </is>
      </c>
      <c r="D4" s="4" t="inlineStr">
        <is>
          <t>Coin</t>
        </is>
      </c>
      <c r="E4" s="4" t="inlineStr">
        <is>
          <t>Exchange</t>
        </is>
      </c>
      <c r="F4" s="4" t="inlineStr">
        <is>
          <t>Qty</t>
        </is>
      </c>
      <c r="G4" s="4" t="inlineStr">
        <is>
          <t>Price (USD)</t>
        </is>
      </c>
      <c r="H4" s="4" t="inlineStr">
        <is>
          <t>Fee (USD)</t>
        </is>
      </c>
      <c r="I4" s="4" t="inlineStr">
        <is>
          <t>Total (USD)</t>
        </is>
      </c>
    </row>
    <row r="5" ht="22" customHeight="1">
      <c r="B5" s="19" t="n">
        <v>46218</v>
      </c>
      <c r="C5" s="5" t="inlineStr">
        <is>
          <t>BUY</t>
        </is>
      </c>
      <c r="D5" s="5" t="inlineStr">
        <is>
          <t>BTC</t>
        </is>
      </c>
      <c r="E5" s="20" t="inlineStr">
        <is>
          <t>Binance</t>
        </is>
      </c>
      <c r="F5" s="6" t="n">
        <v>0.05</v>
      </c>
      <c r="G5" s="7" t="n">
        <v>88000</v>
      </c>
      <c r="H5" s="8" t="n">
        <v>4.4</v>
      </c>
      <c r="I5" s="8">
        <f>IF(F5="","",IF(C5="SELL",F5*G5-H5,F5*G5+H5))</f>
        <v/>
      </c>
    </row>
    <row r="6" ht="22" customHeight="1">
      <c r="B6" s="21" t="n">
        <v>46219</v>
      </c>
      <c r="C6" s="10" t="inlineStr">
        <is>
          <t>BUY</t>
        </is>
      </c>
      <c r="D6" s="10" t="inlineStr">
        <is>
          <t>ETH</t>
        </is>
      </c>
      <c r="E6" s="22" t="inlineStr">
        <is>
          <t>Binance</t>
        </is>
      </c>
      <c r="F6" s="11" t="n">
        <v>1.5</v>
      </c>
      <c r="G6" s="12" t="n">
        <v>2950</v>
      </c>
      <c r="H6" s="13" t="n">
        <v>3.2</v>
      </c>
      <c r="I6" s="13">
        <f>IF(F6="","",IF(C6="SELL",F6*G6-H6,F6*G6+H6))</f>
        <v/>
      </c>
    </row>
    <row r="7" ht="22" customHeight="1">
      <c r="B7" s="19" t="n">
        <v>46221</v>
      </c>
      <c r="C7" s="5" t="inlineStr">
        <is>
          <t>BUY</t>
        </is>
      </c>
      <c r="D7" s="5" t="inlineStr">
        <is>
          <t>SOL</t>
        </is>
      </c>
      <c r="E7" s="20" t="inlineStr">
        <is>
          <t>Coinbase</t>
        </is>
      </c>
      <c r="F7" s="6" t="n">
        <v>25</v>
      </c>
      <c r="G7" s="7" t="n">
        <v>128</v>
      </c>
      <c r="H7" s="8" t="n">
        <v>1.2</v>
      </c>
      <c r="I7" s="8">
        <f>IF(F7="","",IF(C7="SELL",F7*G7-H7,F7*G7+H7))</f>
        <v/>
      </c>
    </row>
    <row r="8" ht="22" customHeight="1">
      <c r="B8" s="21" t="n">
        <v>46225</v>
      </c>
      <c r="C8" s="10" t="inlineStr">
        <is>
          <t>SELL</t>
        </is>
      </c>
      <c r="D8" s="10" t="inlineStr">
        <is>
          <t>ETH</t>
        </is>
      </c>
      <c r="E8" s="22" t="inlineStr">
        <is>
          <t>Binance</t>
        </is>
      </c>
      <c r="F8" s="11" t="n">
        <v>0.5</v>
      </c>
      <c r="G8" s="12" t="n">
        <v>3350</v>
      </c>
      <c r="H8" s="13" t="n">
        <v>1.5</v>
      </c>
      <c r="I8" s="13">
        <f>IF(F8="","",IF(C8="SELL",F8*G8-H8,F8*G8+H8))</f>
        <v/>
      </c>
    </row>
    <row r="9" ht="22" customHeight="1">
      <c r="B9" s="19" t="n"/>
      <c r="C9" s="5" t="n"/>
      <c r="D9" s="5" t="n"/>
      <c r="E9" s="20" t="n"/>
      <c r="F9" s="6" t="n"/>
      <c r="G9" s="7" t="n"/>
      <c r="H9" s="8" t="n"/>
      <c r="I9" s="8">
        <f>IF(F9="","",IF(C9="SELL",F9*G9-H9,F9*G9+H9))</f>
        <v/>
      </c>
    </row>
    <row r="10" ht="22" customHeight="1">
      <c r="B10" s="21" t="n"/>
      <c r="C10" s="10" t="n"/>
      <c r="D10" s="10" t="n"/>
      <c r="E10" s="22" t="n"/>
      <c r="F10" s="11" t="n"/>
      <c r="G10" s="12" t="n"/>
      <c r="H10" s="13" t="n"/>
      <c r="I10" s="13">
        <f>IF(F10="","",IF(C10="SELL",F10*G10-H10,F10*G10+H10))</f>
        <v/>
      </c>
    </row>
    <row r="11" ht="22" customHeight="1">
      <c r="B11" s="19" t="n"/>
      <c r="C11" s="5" t="n"/>
      <c r="D11" s="5" t="n"/>
      <c r="E11" s="20" t="n"/>
      <c r="F11" s="6" t="n"/>
      <c r="G11" s="7" t="n"/>
      <c r="H11" s="8" t="n"/>
      <c r="I11" s="8">
        <f>IF(F11="","",IF(C11="SELL",F11*G11-H11,F11*G11+H11))</f>
        <v/>
      </c>
    </row>
    <row r="12" ht="22" customHeight="1">
      <c r="B12" s="21" t="n"/>
      <c r="C12" s="10" t="n"/>
      <c r="D12" s="10" t="n"/>
      <c r="E12" s="22" t="n"/>
      <c r="F12" s="11" t="n"/>
      <c r="G12" s="12" t="n"/>
      <c r="H12" s="13" t="n"/>
      <c r="I12" s="13">
        <f>IF(F12="","",IF(C12="SELL",F12*G12-H12,F12*G12+H12))</f>
        <v/>
      </c>
    </row>
    <row r="13" ht="22" customHeight="1">
      <c r="B13" s="19" t="n"/>
      <c r="C13" s="5" t="n"/>
      <c r="D13" s="5" t="n"/>
      <c r="E13" s="20" t="n"/>
      <c r="F13" s="6" t="n"/>
      <c r="G13" s="7" t="n"/>
      <c r="H13" s="8" t="n"/>
      <c r="I13" s="8">
        <f>IF(F13="","",IF(C13="SELL",F13*G13-H13,F13*G13+H13))</f>
        <v/>
      </c>
    </row>
    <row r="14" ht="22" customHeight="1">
      <c r="B14" s="21" t="n"/>
      <c r="C14" s="10" t="n"/>
      <c r="D14" s="10" t="n"/>
      <c r="E14" s="22" t="n"/>
      <c r="F14" s="11" t="n"/>
      <c r="G14" s="12" t="n"/>
      <c r="H14" s="13" t="n"/>
      <c r="I14" s="13">
        <f>IF(F14="","",IF(C14="SELL",F14*G14-H14,F14*G14+H14))</f>
        <v/>
      </c>
    </row>
    <row r="15" ht="22" customHeight="1">
      <c r="B15" s="19" t="n"/>
      <c r="C15" s="5" t="n"/>
      <c r="D15" s="5" t="n"/>
      <c r="E15" s="20" t="n"/>
      <c r="F15" s="6" t="n"/>
      <c r="G15" s="7" t="n"/>
      <c r="H15" s="8" t="n"/>
      <c r="I15" s="8">
        <f>IF(F15="","",IF(C15="SELL",F15*G15-H15,F15*G15+H15))</f>
        <v/>
      </c>
    </row>
    <row r="16" ht="22" customHeight="1">
      <c r="B16" s="21" t="n"/>
      <c r="C16" s="10" t="n"/>
      <c r="D16" s="10" t="n"/>
      <c r="E16" s="22" t="n"/>
      <c r="F16" s="11" t="n"/>
      <c r="G16" s="12" t="n"/>
      <c r="H16" s="13" t="n"/>
      <c r="I16" s="13">
        <f>IF(F16="","",IF(C16="SELL",F16*G16-H16,F16*G16+H16))</f>
        <v/>
      </c>
    </row>
    <row r="17" ht="22" customHeight="1">
      <c r="B17" s="19" t="n"/>
      <c r="C17" s="5" t="n"/>
      <c r="D17" s="5" t="n"/>
      <c r="E17" s="20" t="n"/>
      <c r="F17" s="6" t="n"/>
      <c r="G17" s="7" t="n"/>
      <c r="H17" s="8" t="n"/>
      <c r="I17" s="8">
        <f>IF(F17="","",IF(C17="SELL",F17*G17-H17,F17*G17+H17))</f>
        <v/>
      </c>
    </row>
    <row r="18" ht="22" customHeight="1">
      <c r="B18" s="21" t="n"/>
      <c r="C18" s="10" t="n"/>
      <c r="D18" s="10" t="n"/>
      <c r="E18" s="22" t="n"/>
      <c r="F18" s="11" t="n"/>
      <c r="G18" s="12" t="n"/>
      <c r="H18" s="13" t="n"/>
      <c r="I18" s="13">
        <f>IF(F18="","",IF(C18="SELL",F18*G18-H18,F18*G18+H18))</f>
        <v/>
      </c>
    </row>
    <row r="19" ht="22" customHeight="1">
      <c r="B19" s="19" t="n"/>
      <c r="C19" s="5" t="n"/>
      <c r="D19" s="5" t="n"/>
      <c r="E19" s="20" t="n"/>
      <c r="F19" s="6" t="n"/>
      <c r="G19" s="7" t="n"/>
      <c r="H19" s="8" t="n"/>
      <c r="I19" s="8">
        <f>IF(F19="","",IF(C19="SELL",F19*G19-H19,F19*G19+H19))</f>
        <v/>
      </c>
    </row>
    <row r="20" ht="22" customHeight="1">
      <c r="B20" s="21" t="n"/>
      <c r="C20" s="10" t="n"/>
      <c r="D20" s="10" t="n"/>
      <c r="E20" s="22" t="n"/>
      <c r="F20" s="11" t="n"/>
      <c r="G20" s="12" t="n"/>
      <c r="H20" s="13" t="n"/>
      <c r="I20" s="13">
        <f>IF(F20="","",IF(C20="SELL",F20*G20-H20,F20*G20+H20))</f>
        <v/>
      </c>
    </row>
    <row r="21" ht="22" customHeight="1">
      <c r="B21" s="19" t="n"/>
      <c r="C21" s="5" t="n"/>
      <c r="D21" s="5" t="n"/>
      <c r="E21" s="20" t="n"/>
      <c r="F21" s="6" t="n"/>
      <c r="G21" s="7" t="n"/>
      <c r="H21" s="8" t="n"/>
      <c r="I21" s="8">
        <f>IF(F21="","",IF(C21="SELL",F21*G21-H21,F21*G21+H21))</f>
        <v/>
      </c>
    </row>
    <row r="22" ht="22" customHeight="1">
      <c r="B22" s="21" t="n"/>
      <c r="C22" s="10" t="n"/>
      <c r="D22" s="10" t="n"/>
      <c r="E22" s="22" t="n"/>
      <c r="F22" s="11" t="n"/>
      <c r="G22" s="12" t="n"/>
      <c r="H22" s="13" t="n"/>
      <c r="I22" s="13">
        <f>IF(F22="","",IF(C22="SELL",F22*G22-H22,F22*G22+H22))</f>
        <v/>
      </c>
    </row>
    <row r="23" ht="22" customHeight="1">
      <c r="B23" s="19" t="n"/>
      <c r="C23" s="5" t="n"/>
      <c r="D23" s="5" t="n"/>
      <c r="E23" s="20" t="n"/>
      <c r="F23" s="6" t="n"/>
      <c r="G23" s="7" t="n"/>
      <c r="H23" s="8" t="n"/>
      <c r="I23" s="8">
        <f>IF(F23="","",IF(C23="SELL",F23*G23-H23,F23*G23+H23))</f>
        <v/>
      </c>
    </row>
    <row r="24" ht="22" customHeight="1">
      <c r="B24" s="21" t="n"/>
      <c r="C24" s="10" t="n"/>
      <c r="D24" s="10" t="n"/>
      <c r="E24" s="22" t="n"/>
      <c r="F24" s="11" t="n"/>
      <c r="G24" s="12" t="n"/>
      <c r="H24" s="13" t="n"/>
      <c r="I24" s="13">
        <f>IF(F24="","",IF(C24="SELL",F24*G24-H24,F24*G24+H24))</f>
        <v/>
      </c>
    </row>
    <row r="25" ht="22" customHeight="1">
      <c r="B25" s="19" t="n"/>
      <c r="C25" s="5" t="n"/>
      <c r="D25" s="5" t="n"/>
      <c r="E25" s="20" t="n"/>
      <c r="F25" s="6" t="n"/>
      <c r="G25" s="7" t="n"/>
      <c r="H25" s="8" t="n"/>
      <c r="I25" s="8">
        <f>IF(F25="","",IF(C25="SELL",F25*G25-H25,F25*G25+H25))</f>
        <v/>
      </c>
    </row>
    <row r="26" ht="22" customHeight="1">
      <c r="B26" s="21" t="n"/>
      <c r="C26" s="10" t="n"/>
      <c r="D26" s="10" t="n"/>
      <c r="E26" s="22" t="n"/>
      <c r="F26" s="11" t="n"/>
      <c r="G26" s="12" t="n"/>
      <c r="H26" s="13" t="n"/>
      <c r="I26" s="13">
        <f>IF(F26="","",IF(C26="SELL",F26*G26-H26,F26*G26+H26))</f>
        <v/>
      </c>
    </row>
    <row r="27" ht="22" customHeight="1">
      <c r="B27" s="19" t="n"/>
      <c r="C27" s="5" t="n"/>
      <c r="D27" s="5" t="n"/>
      <c r="E27" s="20" t="n"/>
      <c r="F27" s="6" t="n"/>
      <c r="G27" s="7" t="n"/>
      <c r="H27" s="8" t="n"/>
      <c r="I27" s="8">
        <f>IF(F27="","",IF(C27="SELL",F27*G27-H27,F27*G27+H27))</f>
        <v/>
      </c>
    </row>
    <row r="28" ht="22" customHeight="1">
      <c r="B28" s="21" t="n"/>
      <c r="C28" s="10" t="n"/>
      <c r="D28" s="10" t="n"/>
      <c r="E28" s="22" t="n"/>
      <c r="F28" s="11" t="n"/>
      <c r="G28" s="12" t="n"/>
      <c r="H28" s="13" t="n"/>
      <c r="I28" s="13">
        <f>IF(F28="","",IF(C28="SELL",F28*G28-H28,F28*G28+H28))</f>
        <v/>
      </c>
    </row>
    <row r="29" ht="22" customHeight="1">
      <c r="B29" s="19" t="n"/>
      <c r="C29" s="5" t="n"/>
      <c r="D29" s="5" t="n"/>
      <c r="E29" s="20" t="n"/>
      <c r="F29" s="6" t="n"/>
      <c r="G29" s="7" t="n"/>
      <c r="H29" s="8" t="n"/>
      <c r="I29" s="8">
        <f>IF(F29="","",IF(C29="SELL",F29*G29-H29,F29*G29+H29))</f>
        <v/>
      </c>
    </row>
    <row r="30" ht="22" customHeight="1">
      <c r="B30" s="21" t="n"/>
      <c r="C30" s="10" t="n"/>
      <c r="D30" s="10" t="n"/>
      <c r="E30" s="22" t="n"/>
      <c r="F30" s="11" t="n"/>
      <c r="G30" s="12" t="n"/>
      <c r="H30" s="13" t="n"/>
      <c r="I30" s="13">
        <f>IF(F30="","",IF(C30="SELL",F30*G30-H30,F30*G30+H30))</f>
        <v/>
      </c>
    </row>
    <row r="31" ht="22" customHeight="1">
      <c r="B31" s="19" t="n"/>
      <c r="C31" s="5" t="n"/>
      <c r="D31" s="5" t="n"/>
      <c r="E31" s="20" t="n"/>
      <c r="F31" s="6" t="n"/>
      <c r="G31" s="7" t="n"/>
      <c r="H31" s="8" t="n"/>
      <c r="I31" s="8">
        <f>IF(F31="","",IF(C31="SELL",F31*G31-H31,F31*G31+H31))</f>
        <v/>
      </c>
    </row>
    <row r="32" ht="22" customHeight="1">
      <c r="B32" s="21" t="n"/>
      <c r="C32" s="10" t="n"/>
      <c r="D32" s="10" t="n"/>
      <c r="E32" s="22" t="n"/>
      <c r="F32" s="11" t="n"/>
      <c r="G32" s="12" t="n"/>
      <c r="H32" s="13" t="n"/>
      <c r="I32" s="13">
        <f>IF(F32="","",IF(C32="SELL",F32*G32-H32,F32*G32+H32))</f>
        <v/>
      </c>
    </row>
    <row r="33" ht="22" customHeight="1">
      <c r="B33" s="19" t="n"/>
      <c r="C33" s="5" t="n"/>
      <c r="D33" s="5" t="n"/>
      <c r="E33" s="20" t="n"/>
      <c r="F33" s="6" t="n"/>
      <c r="G33" s="7" t="n"/>
      <c r="H33" s="8" t="n"/>
      <c r="I33" s="8">
        <f>IF(F33="","",IF(C33="SELL",F33*G33-H33,F33*G33+H33))</f>
        <v/>
      </c>
    </row>
    <row r="34" ht="22" customHeight="1">
      <c r="B34" s="21" t="n"/>
      <c r="C34" s="10" t="n"/>
      <c r="D34" s="10" t="n"/>
      <c r="E34" s="22" t="n"/>
      <c r="F34" s="11" t="n"/>
      <c r="G34" s="12" t="n"/>
      <c r="H34" s="13" t="n"/>
      <c r="I34" s="13">
        <f>IF(F34="","",IF(C34="SELL",F34*G34-H34,F34*G34+H34))</f>
        <v/>
      </c>
    </row>
    <row r="35" ht="22" customHeight="1">
      <c r="B35" s="19" t="n"/>
      <c r="C35" s="5" t="n"/>
      <c r="D35" s="5" t="n"/>
      <c r="E35" s="20" t="n"/>
      <c r="F35" s="6" t="n"/>
      <c r="G35" s="7" t="n"/>
      <c r="H35" s="8" t="n"/>
      <c r="I35" s="8">
        <f>IF(F35="","",IF(C35="SELL",F35*G35-H35,F35*G35+H35))</f>
        <v/>
      </c>
    </row>
    <row r="36" ht="22" customHeight="1">
      <c r="B36" s="21" t="n"/>
      <c r="C36" s="10" t="n"/>
      <c r="D36" s="10" t="n"/>
      <c r="E36" s="22" t="n"/>
      <c r="F36" s="11" t="n"/>
      <c r="G36" s="12" t="n"/>
      <c r="H36" s="13" t="n"/>
      <c r="I36" s="13">
        <f>IF(F36="","",IF(C36="SELL",F36*G36-H36,F36*G36+H36))</f>
        <v/>
      </c>
    </row>
    <row r="38">
      <c r="B38" s="18" t="inlineStr">
        <is>
          <t>One trade per row. Total is computed automatically. Need more rows? Drag-fill down from the last row.</t>
        </is>
      </c>
    </row>
  </sheetData>
  <mergeCells count="2">
    <mergeCell ref="B38:I38"/>
    <mergeCell ref="B2:I2"/>
  </mergeCells>
  <dataValidations count="3">
    <dataValidation sqref="C5:C36" showDropDown="0" showInputMessage="0" showErrorMessage="0" allowBlank="1" type="list">
      <formula1>"BUY,SELL"</formula1>
    </dataValidation>
    <dataValidation sqref="D5:D36" showDropDown="0" showInputMessage="0" showErrorMessage="0" allowBlank="1" type="list">
      <formula1>CoinList</formula1>
    </dataValidation>
    <dataValidation sqref="E5:E36" showDropDown="0" showInputMessage="0" showErrorMessage="0" allowBlank="1" type="list">
      <formula1>ExchangeList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" customWidth="1" min="3" max="3"/>
    <col width="12" customWidth="1" min="4" max="4"/>
    <col width="3" customWidth="1" min="5" max="5"/>
    <col width="8" customWidth="1" min="6" max="6"/>
  </cols>
  <sheetData>
    <row r="1" ht="15" customHeight="1"/>
    <row r="2" ht="32" customHeight="1">
      <c r="B2" s="1" t="inlineStr">
        <is>
          <t>Reference Lists</t>
        </is>
      </c>
    </row>
    <row r="3" ht="8" customHeight="1"/>
    <row r="4" ht="28" customHeight="1">
      <c r="B4" s="4" t="inlineStr">
        <is>
          <t>Coin</t>
        </is>
      </c>
      <c r="D4" s="4" t="inlineStr">
        <is>
          <t>Exchange</t>
        </is>
      </c>
      <c r="F4" s="4" t="inlineStr">
        <is>
          <t>Type</t>
        </is>
      </c>
    </row>
    <row r="5" ht="22" customHeight="1">
      <c r="B5" s="20" t="inlineStr">
        <is>
          <t>BTC</t>
        </is>
      </c>
      <c r="D5" s="20" t="inlineStr">
        <is>
          <t>Binance</t>
        </is>
      </c>
      <c r="F5" s="20" t="inlineStr">
        <is>
          <t>BUY</t>
        </is>
      </c>
    </row>
    <row r="6" ht="22" customHeight="1">
      <c r="B6" s="22" t="inlineStr">
        <is>
          <t>ETH</t>
        </is>
      </c>
      <c r="D6" s="22" t="inlineStr">
        <is>
          <t>Coinbase</t>
        </is>
      </c>
      <c r="F6" s="22" t="inlineStr">
        <is>
          <t>SELL</t>
        </is>
      </c>
    </row>
    <row r="7" ht="22" customHeight="1">
      <c r="B7" s="20" t="inlineStr">
        <is>
          <t>USDT</t>
        </is>
      </c>
      <c r="D7" s="20" t="inlineStr">
        <is>
          <t>Kraken</t>
        </is>
      </c>
    </row>
    <row r="8" ht="22" customHeight="1">
      <c r="B8" s="22" t="inlineStr">
        <is>
          <t>SOL</t>
        </is>
      </c>
      <c r="D8" s="22" t="inlineStr">
        <is>
          <t>OKX</t>
        </is>
      </c>
    </row>
    <row r="9" ht="22" customHeight="1">
      <c r="B9" s="20" t="inlineStr">
        <is>
          <t>BNB</t>
        </is>
      </c>
      <c r="D9" s="20" t="inlineStr">
        <is>
          <t>Bybit</t>
        </is>
      </c>
    </row>
    <row r="10" ht="22" customHeight="1">
      <c r="B10" s="22" t="inlineStr">
        <is>
          <t>XRP</t>
        </is>
      </c>
      <c r="D10" s="22" t="inlineStr">
        <is>
          <t>KuCoin</t>
        </is>
      </c>
    </row>
    <row r="11" ht="22" customHeight="1">
      <c r="B11" s="20" t="inlineStr">
        <is>
          <t>ADA</t>
        </is>
      </c>
      <c r="D11" s="20" t="inlineStr">
        <is>
          <t>Gate.io</t>
        </is>
      </c>
    </row>
    <row r="12" ht="22" customHeight="1">
      <c r="B12" s="22" t="inlineStr">
        <is>
          <t>DOGE</t>
        </is>
      </c>
      <c r="D12" s="22" t="inlineStr">
        <is>
          <t>Other</t>
        </is>
      </c>
    </row>
    <row r="15">
      <c r="B15" s="18" t="inlineStr">
        <is>
          <t>Rename unused rows to any coin you hold — dropdowns update automatically.</t>
        </is>
      </c>
    </row>
  </sheetData>
  <mergeCells count="2">
    <mergeCell ref="B2:G2"/>
    <mergeCell ref="B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Crypto Portfolio Tracker Community</dc:title>
  <dcterms:created xmlns:dcterms="http://purl.org/dc/terms/" xmlns:xsi="http://www.w3.org/2001/XMLSchema-instance" xsi:type="dcterms:W3CDTF">2026-09-23T17:13:12Z</dcterms:created>
  <dcterms:modified xmlns:dcterms="http://purl.org/dc/terms/" xmlns:xsi="http://www.w3.org/2001/XMLSchema-instance" xsi:type="dcterms:W3CDTF">2026-09-23T17:13:12Z</dcterms:modified>
</cp:coreProperties>
</file>